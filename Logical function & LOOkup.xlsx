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<sst xmlns="http://schemas.openxmlformats.org/spreadsheetml/2006/main" count="77" uniqueCount="60">
  <si>
    <t xml:space="preserve">1. Write a formula to check if the marks in cell B2 are greater than or equal to 40. If yes, return "Pass" otherwise "Fail".
</t>
  </si>
  <si>
    <t>Student</t>
  </si>
  <si>
    <t>Marks</t>
  </si>
  <si>
    <t>Result Formula</t>
  </si>
  <si>
    <t>Riya</t>
  </si>
  <si>
    <t>Siya</t>
  </si>
  <si>
    <t>Raju</t>
  </si>
  <si>
    <t>Rahul</t>
  </si>
  <si>
    <t>Ram</t>
  </si>
  <si>
    <t xml:space="preserve">2. A company gives a bonus  if sales are above 40,000 and attendance is greater than or equal to 90%. Write a 
formula to calculate whether the employee will get a bonus or not </t>
  </si>
  <si>
    <t>Employee</t>
  </si>
  <si>
    <t>Sales</t>
  </si>
  <si>
    <t>Attendance</t>
  </si>
  <si>
    <t>Result</t>
  </si>
  <si>
    <t>Arjun</t>
  </si>
  <si>
    <t>Simran</t>
  </si>
  <si>
    <t>Rohit</t>
  </si>
  <si>
    <t>Anjali</t>
  </si>
  <si>
    <t xml:space="preserve">3. Write a nested IF formula: 
If marks in areB2 ≥ 90 → "A", ≥ 75 → "B", ≥ 50 →  "C", otherwise  "F" .  </t>
  </si>
  <si>
    <t>Raj</t>
  </si>
  <si>
    <t>Neha</t>
  </si>
  <si>
    <t>Vivek</t>
  </si>
  <si>
    <t>Rani</t>
  </si>
  <si>
    <t>Sneha</t>
  </si>
  <si>
    <t>4.Find the Department of Employee ID = E103. Also explain which LOOKUP function is used and why?</t>
  </si>
  <si>
    <r>
      <rPr>
        <rFont val="Arial"/>
        <b/>
        <i/>
        <color theme="1"/>
      </rPr>
      <t xml:space="preserve"> Ans -&gt;</t>
    </r>
    <r>
      <rPr>
        <rFont val="Arial"/>
        <color theme="1"/>
      </rPr>
      <t xml:space="preserve"> VLOOKUP is used to search a value from the first column of a table and return a matching value from another column.</t>
    </r>
  </si>
  <si>
    <t>Employee 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</si>
  <si>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</si>
  <si>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</si>
  <si>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</si>
  <si>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</si>
  <si>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</si>
  <si>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</si>
  <si>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</si>
  <si>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</si>
  <si>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</si>
  <si>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</si>
  <si>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</si>
  <si>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LOOKUP</t>
  </si>
  <si>
    <t>5. A company has set the following commission structure for its sales team: If a salesperson achieves sales of ₹45,000, use the VLOOKUP function to determine the commission rate
applicable.</t>
  </si>
  <si>
    <t>Sales Amount</t>
  </si>
  <si>
    <t>Commission</t>
  </si>
  <si>
    <t>VLOOKUP</t>
  </si>
  <si>
    <t>6.The HR department maintains the following leave records of employees:onus or not . Write an IF function to check whether an employee has Exceeded their allowed leave balance.
 If Leaves Taken &gt; Allowed Leaves, display "Exceeded".
 Otherwise, display "OK"</t>
  </si>
  <si>
    <t>Leaves Taken</t>
  </si>
  <si>
    <t>Leaves Allowed</t>
  </si>
  <si>
    <t>status</t>
  </si>
  <si>
    <t>Alex</t>
  </si>
  <si>
    <t>Bob</t>
  </si>
  <si>
    <t>Anna</t>
  </si>
  <si>
    <t>7. Find the salary of EmpID = E105 using INDEX-MATCH Function.</t>
  </si>
  <si>
    <t>EmpID</t>
  </si>
  <si>
    <t>Salary</t>
  </si>
  <si>
    <t>INDEX_MATCH</t>
  </si>
  <si>
    <t>E105</t>
  </si>
  <si>
    <t>E106</t>
  </si>
  <si>
    <t>8. Use the XLOOKUP function to find the Department of the employee with Emp ID = E303.</t>
  </si>
  <si>
    <t>E303</t>
  </si>
  <si>
    <t>E301</t>
  </si>
  <si>
    <t>XLOOKUP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</si>
</sst>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3" fontId="2" numFmtId="0" xfId="0" applyAlignment="1" applyFont="1">
      <alignment readingOrder="0"/>
    </xf>
    <xf borderId="0" fillId="0" fontId="2" numFmtId="0" xfId="0" applyFont="1"/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Font="1" applyNumberFormat="1"/>
    <xf borderId="0" fillId="2" fontId="2" numFmtId="0" xfId="0" applyAlignment="1" applyFont="1">
      <alignment horizontal="left" readingOrder="0"/>
    </xf>
    <xf borderId="0" fillId="4" fontId="3" numFmtId="0" xfId="0" applyAlignment="1" applyFill="1" applyFon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6" max="6" width="15.75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</row>
    <row r="5">
      <c r="A5" s="3" t="s">
        <v>4</v>
      </c>
      <c r="B5" s="3">
        <v>45.0</v>
      </c>
      <c r="C5" s="4" t="str">
        <f t="shared" ref="C5:C9" si="1">IF(B5&gt;=40, "Pass", "Fail")</f>
        <v>Pass</v>
      </c>
    </row>
    <row r="6">
      <c r="A6" s="3" t="s">
        <v>5</v>
      </c>
      <c r="B6" s="3">
        <v>72.0</v>
      </c>
      <c r="C6" s="4" t="str">
        <f t="shared" si="1"/>
        <v>Pass</v>
      </c>
    </row>
    <row r="7">
      <c r="A7" s="3" t="s">
        <v>6</v>
      </c>
      <c r="B7" s="3">
        <v>55.0</v>
      </c>
      <c r="C7" s="4" t="str">
        <f t="shared" si="1"/>
        <v>Pass</v>
      </c>
    </row>
    <row r="8">
      <c r="A8" s="3" t="s">
        <v>7</v>
      </c>
      <c r="B8" s="3">
        <v>80.0</v>
      </c>
      <c r="C8" s="4" t="str">
        <f t="shared" si="1"/>
        <v>Pass</v>
      </c>
    </row>
    <row r="9">
      <c r="A9" s="3" t="s">
        <v>8</v>
      </c>
      <c r="B9" s="3">
        <v>30.0</v>
      </c>
      <c r="C9" s="4" t="str">
        <f t="shared" si="1"/>
        <v>Fail</v>
      </c>
    </row>
    <row r="11">
      <c r="A11" s="1" t="s">
        <v>9</v>
      </c>
    </row>
    <row r="14">
      <c r="A14" s="2" t="s">
        <v>10</v>
      </c>
      <c r="B14" s="2" t="s">
        <v>11</v>
      </c>
      <c r="C14" s="2" t="s">
        <v>12</v>
      </c>
      <c r="D14" s="2" t="s">
        <v>13</v>
      </c>
    </row>
    <row r="15">
      <c r="A15" s="3" t="s">
        <v>14</v>
      </c>
      <c r="B15" s="3">
        <v>55000.0</v>
      </c>
      <c r="C15" s="5">
        <v>0.95</v>
      </c>
      <c r="D15" s="3" t="str">
        <f t="shared" ref="D15:D18" si="2">IF(AND(B15&gt;40000, C15&gt;=90%), "Bonus", "No Bonus")</f>
        <v>Bonus</v>
      </c>
    </row>
    <row r="16">
      <c r="A16" s="3" t="s">
        <v>15</v>
      </c>
      <c r="B16" s="3">
        <v>65000.0</v>
      </c>
      <c r="C16" s="5">
        <v>0.85</v>
      </c>
      <c r="D16" s="3" t="str">
        <f t="shared" si="2"/>
        <v>No Bonus</v>
      </c>
    </row>
    <row r="17">
      <c r="A17" s="3" t="s">
        <v>16</v>
      </c>
      <c r="B17" s="3">
        <v>30000.0</v>
      </c>
      <c r="C17" s="5">
        <v>0.9</v>
      </c>
      <c r="D17" s="3" t="str">
        <f t="shared" si="2"/>
        <v>No Bonus</v>
      </c>
    </row>
    <row r="18">
      <c r="A18" s="3" t="s">
        <v>17</v>
      </c>
      <c r="B18" s="3">
        <v>25000.0</v>
      </c>
      <c r="C18" s="5">
        <v>0.65</v>
      </c>
      <c r="D18" s="3" t="str">
        <f t="shared" si="2"/>
        <v>No Bonus</v>
      </c>
    </row>
    <row r="20">
      <c r="A20" s="6" t="s">
        <v>18</v>
      </c>
    </row>
    <row r="23">
      <c r="A23" s="2" t="s">
        <v>1</v>
      </c>
      <c r="B23" s="2" t="s">
        <v>2</v>
      </c>
      <c r="C23" s="2" t="s">
        <v>13</v>
      </c>
    </row>
    <row r="24">
      <c r="A24" s="3" t="s">
        <v>19</v>
      </c>
      <c r="B24" s="3">
        <v>85.0</v>
      </c>
      <c r="C24" s="3" t="str">
        <f>IFS(B24&gt;=90, "A",B24&gt;="75","B",B24&gt;=50,"C",B24&lt;"50","FAIL")</f>
        <v>C</v>
      </c>
    </row>
    <row r="25">
      <c r="A25" s="3" t="s">
        <v>20</v>
      </c>
      <c r="B25" s="3">
        <v>96.0</v>
      </c>
      <c r="C25" s="3" t="str">
        <f t="shared" ref="C25:C28" si="3">IFS(B25&gt;=90, "A",B25&gt;=75 ,"B",B25&gt;=50, "C",B25&lt;50,"FAIL")</f>
        <v>A</v>
      </c>
    </row>
    <row r="26">
      <c r="A26" s="3" t="s">
        <v>21</v>
      </c>
      <c r="B26" s="3">
        <v>57.0</v>
      </c>
      <c r="C26" s="3" t="str">
        <f t="shared" si="3"/>
        <v>C</v>
      </c>
    </row>
    <row r="27">
      <c r="A27" s="3" t="s">
        <v>22</v>
      </c>
      <c r="B27" s="3">
        <v>92.0</v>
      </c>
      <c r="C27" s="3" t="str">
        <f t="shared" si="3"/>
        <v>A</v>
      </c>
    </row>
    <row r="28">
      <c r="A28" s="3" t="s">
        <v>23</v>
      </c>
      <c r="B28" s="3">
        <v>45.0</v>
      </c>
      <c r="C28" s="3" t="str">
        <f t="shared" si="3"/>
        <v>FAIL</v>
      </c>
    </row>
    <row r="30">
      <c r="A30" s="6" t="s">
        <v>24</v>
      </c>
    </row>
    <row r="33">
      <c r="A33" s="7" t="s">
        <v>25</v>
      </c>
    </row>
    <row r="35">
      <c r="A35" s="2" t="s">
        <v>26</v>
      </c>
      <c r="B35" s="2" t="s">
        <v>27</v>
      </c>
      <c r="C35" s="2" t="s">
        <v>28</v>
      </c>
    </row>
    <row r="36">
      <c r="A36" s="3" t="s">
        <v>29</v>
      </c>
      <c r="B36" s="3" t="s">
        <v>6</v>
      </c>
      <c r="C36" s="3" t="s">
        <v>30</v>
      </c>
    </row>
    <row r="37">
      <c r="A37" s="3" t="s">
        <v>31</v>
      </c>
      <c r="B37" s="3" t="s">
        <v>4</v>
      </c>
      <c r="C37" s="3" t="s">
        <v>32</v>
      </c>
    </row>
    <row r="38">
      <c r="A38" s="3" t="s">
        <v>33</v>
      </c>
      <c r="B38" s="3" t="s">
        <v>34</v>
      </c>
      <c r="C38" s="3" t="s">
        <v>35</v>
      </c>
    </row>
    <row r="39">
      <c r="A39" s="3" t="s">
        <v>36</v>
      </c>
      <c r="B39" s="3" t="s">
        <v>37</v>
      </c>
      <c r="C39" s="3" t="s">
        <v>11</v>
      </c>
    </row>
    <row r="41">
      <c r="A41" s="8" t="s">
        <v>38</v>
      </c>
      <c r="B41" s="9" t="str">
        <f>VLOOKUP("E103", A35:C39, 3, FALSE)</f>
        <v>Finance</v>
      </c>
    </row>
    <row r="43">
      <c r="A43" s="1" t="s">
        <v>39</v>
      </c>
    </row>
    <row r="46">
      <c r="A46" s="2" t="s">
        <v>40</v>
      </c>
      <c r="B46" s="2" t="s">
        <v>41</v>
      </c>
    </row>
    <row r="47">
      <c r="A47" s="10">
        <v>0.0</v>
      </c>
      <c r="B47" s="5">
        <v>0.05</v>
      </c>
    </row>
    <row r="48">
      <c r="A48" s="10">
        <v>20000.0</v>
      </c>
      <c r="B48" s="5">
        <v>0.1</v>
      </c>
    </row>
    <row r="49">
      <c r="A49" s="10">
        <v>50000.0</v>
      </c>
      <c r="B49" s="5">
        <v>0.15</v>
      </c>
    </row>
    <row r="50">
      <c r="A50" s="10">
        <v>80000.0</v>
      </c>
      <c r="B50" s="5">
        <v>0.2</v>
      </c>
    </row>
    <row r="52">
      <c r="A52" s="11" t="s">
        <v>42</v>
      </c>
      <c r="B52" s="12">
        <f>VLOOKUP(45000, A46:B50, 2, TRUE)</f>
        <v>0.1</v>
      </c>
    </row>
    <row r="54">
      <c r="A54" s="6" t="s">
        <v>43</v>
      </c>
    </row>
    <row r="57">
      <c r="A57" s="2" t="s">
        <v>10</v>
      </c>
      <c r="B57" s="2" t="s">
        <v>44</v>
      </c>
      <c r="C57" s="2" t="s">
        <v>45</v>
      </c>
      <c r="D57" s="11" t="s">
        <v>46</v>
      </c>
    </row>
    <row r="58">
      <c r="A58" s="3" t="s">
        <v>47</v>
      </c>
      <c r="B58" s="3">
        <v>10.0</v>
      </c>
      <c r="C58" s="3">
        <v>10.0</v>
      </c>
      <c r="D58" s="4" t="str">
        <f t="shared" ref="D58:D60" si="4">IF(B58 &gt; C58, "Exceeded", "OK")</f>
        <v>OK</v>
      </c>
    </row>
    <row r="59">
      <c r="A59" s="3" t="s">
        <v>48</v>
      </c>
      <c r="B59" s="3">
        <v>8.0</v>
      </c>
      <c r="C59" s="3">
        <v>12.0</v>
      </c>
      <c r="D59" s="4" t="str">
        <f t="shared" si="4"/>
        <v>OK</v>
      </c>
    </row>
    <row r="60">
      <c r="A60" s="3" t="s">
        <v>49</v>
      </c>
      <c r="B60" s="3">
        <v>15.0</v>
      </c>
      <c r="C60" s="3">
        <v>12.0</v>
      </c>
      <c r="D60" s="4" t="str">
        <f t="shared" si="4"/>
        <v>Exceeded</v>
      </c>
    </row>
    <row r="62">
      <c r="A62" s="13" t="s">
        <v>50</v>
      </c>
    </row>
    <row r="65">
      <c r="A65" s="2" t="s">
        <v>51</v>
      </c>
      <c r="B65" s="2" t="s">
        <v>52</v>
      </c>
    </row>
    <row r="66">
      <c r="A66" s="3" t="s">
        <v>36</v>
      </c>
      <c r="B66" s="10">
        <v>55000.0</v>
      </c>
      <c r="C66" s="9"/>
      <c r="D66" s="14" t="s">
        <v>53</v>
      </c>
      <c r="E66" s="15">
        <f t="array" ref="E66">INDEX(B66:B69, MATCH("E105", A66:A69, 0))</f>
        <v>72000</v>
      </c>
    </row>
    <row r="67">
      <c r="A67" s="3" t="s">
        <v>54</v>
      </c>
      <c r="B67" s="10">
        <v>72000.0</v>
      </c>
    </row>
    <row r="68">
      <c r="A68" s="3" t="s">
        <v>55</v>
      </c>
      <c r="B68" s="10">
        <v>62000.0</v>
      </c>
    </row>
    <row r="69">
      <c r="A69" s="3" t="s">
        <v>31</v>
      </c>
      <c r="B69" s="10">
        <v>41000.0</v>
      </c>
    </row>
    <row r="71">
      <c r="A71" s="6" t="s">
        <v>56</v>
      </c>
    </row>
    <row r="74">
      <c r="A74" s="2" t="s">
        <v>51</v>
      </c>
      <c r="B74" s="2" t="s">
        <v>28</v>
      </c>
    </row>
    <row r="75">
      <c r="A75" s="3" t="s">
        <v>29</v>
      </c>
      <c r="B75" s="3" t="s">
        <v>32</v>
      </c>
    </row>
    <row r="76">
      <c r="A76" s="3" t="s">
        <v>57</v>
      </c>
      <c r="B76" s="3" t="s">
        <v>30</v>
      </c>
    </row>
    <row r="77">
      <c r="A77" s="3" t="s">
        <v>55</v>
      </c>
      <c r="B77" s="3" t="s">
        <v>11</v>
      </c>
    </row>
    <row r="78">
      <c r="A78" s="3" t="s">
        <v>58</v>
      </c>
      <c r="B78" s="3" t="s">
        <v>35</v>
      </c>
    </row>
    <row r="80">
      <c r="A80" s="11" t="s">
        <v>59</v>
      </c>
      <c r="B80" s="9" t="str">
        <f t="array" ref="B80">XLOOKUP("E303", A75:A78, B75:B78)</f>
        <v>IT</v>
      </c>
    </row>
  </sheetData>
  <mergeCells count="9">
    <mergeCell ref="A62:F64"/>
    <mergeCell ref="A71:F73"/>
    <mergeCell ref="A1:F3"/>
    <mergeCell ref="A11:F13"/>
    <mergeCell ref="A20:F22"/>
    <mergeCell ref="A30:F32"/>
    <mergeCell ref="A33:F34"/>
    <mergeCell ref="A43:F45"/>
    <mergeCell ref="A54:F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